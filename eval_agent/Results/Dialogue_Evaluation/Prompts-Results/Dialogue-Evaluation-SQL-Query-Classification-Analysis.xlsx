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anova/Documents/2026/2-DI/Papers/2026-1-Submitted/2026-SNCS (Feb 25 - Extended WEBIST 2025)-A2/Results/Dialogue Evaluation/"/>
    </mc:Choice>
  </mc:AlternateContent>
  <xr:revisionPtr revIDLastSave="0" documentId="13_ncr:1_{223A5E94-C24A-FF48-9A94-A36B7186734C}" xr6:coauthVersionLast="47" xr6:coauthVersionMax="47" xr10:uidLastSave="{00000000-0000-0000-0000-000000000000}"/>
  <bookViews>
    <workbookView xWindow="3700" yWindow="3420" windowWidth="32040" windowHeight="17540" xr2:uid="{D7D8F704-BA38-EC49-8AB3-5099B0ECE687}"/>
  </bookViews>
  <sheets>
    <sheet name="Sum" sheetId="1" r:id="rId1"/>
    <sheet name="Mondial - Gemini" sheetId="3" r:id="rId2"/>
    <sheet name="Formula 1 - Gemini" sheetId="4" r:id="rId3"/>
    <sheet name="Baseball - Gemini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4" l="1"/>
  <c r="D12" i="4"/>
  <c r="E12" i="4"/>
  <c r="B12" i="4"/>
  <c r="E3" i="4"/>
  <c r="E4" i="4"/>
  <c r="E5" i="4"/>
  <c r="E6" i="4"/>
  <c r="E7" i="4"/>
  <c r="E8" i="4"/>
  <c r="E9" i="4"/>
  <c r="E10" i="4"/>
  <c r="E11" i="4"/>
  <c r="E2" i="4"/>
  <c r="C13" i="3"/>
  <c r="D13" i="3"/>
  <c r="E13" i="3"/>
  <c r="B13" i="3"/>
  <c r="E12" i="3"/>
  <c r="J11" i="3"/>
  <c r="E11" i="3"/>
  <c r="C6" i="2"/>
  <c r="E10" i="3"/>
  <c r="E9" i="3"/>
  <c r="E8" i="3"/>
  <c r="E7" i="3"/>
  <c r="E6" i="3"/>
  <c r="E5" i="3"/>
  <c r="E4" i="3" l="1"/>
  <c r="E3" i="3"/>
  <c r="H4" i="2"/>
  <c r="H5" i="2"/>
  <c r="H3" i="2"/>
  <c r="C6" i="1"/>
  <c r="S6" i="1" s="1"/>
  <c r="C5" i="1"/>
  <c r="S5" i="1" s="1"/>
  <c r="C4" i="1"/>
  <c r="S4" i="1" s="1"/>
  <c r="T4" i="1" l="1"/>
  <c r="U6" i="1"/>
  <c r="U4" i="1"/>
  <c r="T6" i="1"/>
  <c r="U5" i="1"/>
  <c r="T5" i="1"/>
</calcChain>
</file>

<file path=xl/sharedStrings.xml><?xml version="1.0" encoding="utf-8"?>
<sst xmlns="http://schemas.openxmlformats.org/spreadsheetml/2006/main" count="76" uniqueCount="40">
  <si>
    <t>Simple</t>
  </si>
  <si>
    <t xml:space="preserve">Medium </t>
  </si>
  <si>
    <t>Complex</t>
  </si>
  <si>
    <t>Sonnet 5 Medium</t>
  </si>
  <si>
    <t>K2.6 Instant High</t>
  </si>
  <si>
    <t>Mondial (50 x 10)</t>
  </si>
  <si>
    <t>Formula 1 (50 x 10)</t>
  </si>
  <si>
    <t>Hist. Baseball (11 x 10)</t>
  </si>
  <si>
    <t>Consensus (Count)</t>
  </si>
  <si>
    <t>Consensus (%)</t>
  </si>
  <si>
    <t>Classification</t>
  </si>
  <si>
    <t>Criteria Summary</t>
  </si>
  <si>
    <t>Query Count</t>
  </si>
  <si>
    <t>\le 1 join, no subqueries, no aggregations</t>
  </si>
  <si>
    <t>Medium</t>
  </si>
  <si>
    <t>\ge 1 subquery or \ge 2 joins, and no aggregations</t>
  </si>
  <si>
    <t>Contains aggregations or does not fit Simple/Medium</t>
  </si>
  <si>
    <t>Experiments 1 -5</t>
  </si>
  <si>
    <t>Gemini 3.6 Thinking</t>
  </si>
  <si>
    <t>Experiments 6-11</t>
  </si>
  <si>
    <t>Complexity Level</t>
  </si>
  <si>
    <t>Criteria</t>
  </si>
  <si>
    <t>At most 1 join, no subqueries, and no aggregations</t>
  </si>
  <si>
    <t>At least 1 subquery or at least 2 joins, and no aggregations</t>
  </si>
  <si>
    <t>Contains aggregations or falls outside simple and medium</t>
  </si>
  <si>
    <t>Total Queries</t>
  </si>
  <si>
    <t>—</t>
  </si>
  <si>
    <t>1 a 5</t>
  </si>
  <si>
    <t>6 a 10</t>
  </si>
  <si>
    <t>11 a 15</t>
  </si>
  <si>
    <t>16 a 20</t>
  </si>
  <si>
    <t>21 a 25</t>
  </si>
  <si>
    <t>26 a 30</t>
  </si>
  <si>
    <t>31 a 35</t>
  </si>
  <si>
    <t>36 a 40</t>
  </si>
  <si>
    <t>41 a 45</t>
  </si>
  <si>
    <t>46 a 50</t>
  </si>
  <si>
    <t>FALTAM 5</t>
  </si>
  <si>
    <t xml:space="preserve">SImple </t>
  </si>
  <si>
    <t>GPT-5.5 Instante (Discarded)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</si>
</sst>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4" xfId="0" applyFont="1" applyBorder="1" applyAlignment="1">
      <alignment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9" xfId="0" applyFont="1" applyBorder="1" applyAlignment="1">
      <alignment vertical="center" wrapText="1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1" fontId="2" fillId="0" borderId="9" xfId="0" applyNumberFormat="1" applyFont="1" applyBorder="1" applyAlignment="1">
      <alignment vertical="center" wrapText="1"/>
    </xf>
    <xf numFmtId="1" fontId="2" fillId="0" borderId="10" xfId="0" applyNumberFormat="1" applyFont="1" applyBorder="1" applyAlignment="1">
      <alignment vertical="center" wrapText="1"/>
    </xf>
    <xf numFmtId="1" fontId="2" fillId="0" borderId="11" xfId="0" applyNumberFormat="1" applyFont="1" applyBorder="1" applyAlignment="1">
      <alignment vertical="center" wrapText="1"/>
    </xf>
    <xf numFmtId="1" fontId="2" fillId="0" borderId="4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0" borderId="5" xfId="0" applyNumberFormat="1" applyFont="1" applyBorder="1" applyAlignment="1">
      <alignment vertical="center" wrapText="1"/>
    </xf>
    <xf numFmtId="1" fontId="2" fillId="0" borderId="6" xfId="0" applyNumberFormat="1" applyFont="1" applyBorder="1" applyAlignment="1">
      <alignment vertical="center" wrapText="1"/>
    </xf>
    <xf numFmtId="1" fontId="2" fillId="0" borderId="7" xfId="0" applyNumberFormat="1" applyFont="1" applyBorder="1" applyAlignment="1">
      <alignment vertical="center" wrapText="1"/>
    </xf>
    <xf numFmtId="1" fontId="2" fillId="0" borderId="8" xfId="0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0" fontId="3" fillId="0" borderId="3" xfId="0" applyNumberFormat="1" applyFont="1" applyBorder="1"/>
    <xf numFmtId="10" fontId="3" fillId="0" borderId="17" xfId="0" applyNumberFormat="1" applyFont="1" applyBorder="1"/>
    <xf numFmtId="10" fontId="3" fillId="0" borderId="9" xfId="0" applyNumberFormat="1" applyFont="1" applyBorder="1"/>
    <xf numFmtId="10" fontId="3" fillId="0" borderId="20" xfId="0" applyNumberFormat="1" applyFont="1" applyBorder="1"/>
    <xf numFmtId="10" fontId="3" fillId="0" borderId="21" xfId="0" applyNumberFormat="1" applyFont="1" applyBorder="1"/>
    <xf numFmtId="10" fontId="3" fillId="0" borderId="22" xfId="0" applyNumberFormat="1" applyFont="1" applyBorder="1"/>
    <xf numFmtId="0" fontId="4" fillId="0" borderId="0" xfId="0" applyFont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1" fillId="0" borderId="12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2" xfId="0" applyFont="1" applyBorder="1" applyAlignment="1">
      <alignment vertical="center" wrapText="1"/>
    </xf>
    <xf numFmtId="0" fontId="11" fillId="0" borderId="1" xfId="0" applyFont="1" applyBorder="1"/>
    <xf numFmtId="0" fontId="11" fillId="0" borderId="5" xfId="0" applyFont="1" applyBorder="1"/>
    <xf numFmtId="0" fontId="11" fillId="0" borderId="13" xfId="0" applyFont="1" applyBorder="1" applyAlignment="1">
      <alignment vertical="center" wrapText="1"/>
    </xf>
    <xf numFmtId="0" fontId="11" fillId="0" borderId="7" xfId="0" applyFont="1" applyBorder="1"/>
    <xf numFmtId="0" fontId="11" fillId="0" borderId="8" xfId="0" applyFont="1" applyBorder="1"/>
    <xf numFmtId="16" fontId="0" fillId="0" borderId="0" xfId="0" applyNumberFormat="1"/>
    <xf numFmtId="0" fontId="10" fillId="0" borderId="14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7FB66-3F94-174B-B37A-D20332C9E363}">
  <dimension ref="B1:U8"/>
  <sheetViews>
    <sheetView tabSelected="1" workbookViewId="0">
      <selection activeCell="P4" sqref="P4:U6"/>
    </sheetView>
  </sheetViews>
  <sheetFormatPr baseColWidth="10" defaultRowHeight="16" x14ac:dyDescent="0.2"/>
  <cols>
    <col min="2" max="2" width="20.5" customWidth="1"/>
    <col min="4" max="15" width="10.83203125" customWidth="1"/>
    <col min="16" max="16" width="11.6640625" bestFit="1" customWidth="1"/>
  </cols>
  <sheetData>
    <row r="1" spans="2:21" ht="17" thickBot="1" x14ac:dyDescent="0.25"/>
    <row r="2" spans="2:21" x14ac:dyDescent="0.2">
      <c r="B2" s="2"/>
      <c r="C2" s="2"/>
      <c r="D2" s="65" t="s">
        <v>39</v>
      </c>
      <c r="E2" s="66"/>
      <c r="F2" s="67"/>
      <c r="G2" s="68" t="s">
        <v>3</v>
      </c>
      <c r="H2" s="69"/>
      <c r="I2" s="70"/>
      <c r="J2" s="68" t="s">
        <v>4</v>
      </c>
      <c r="K2" s="69"/>
      <c r="L2" s="70"/>
      <c r="M2" s="68" t="s">
        <v>18</v>
      </c>
      <c r="N2" s="69"/>
      <c r="O2" s="70"/>
      <c r="P2" s="68" t="s">
        <v>8</v>
      </c>
      <c r="Q2" s="69"/>
      <c r="R2" s="70"/>
      <c r="S2" s="68" t="s">
        <v>9</v>
      </c>
      <c r="T2" s="69"/>
      <c r="U2" s="70"/>
    </row>
    <row r="3" spans="2:21" ht="17" thickBot="1" x14ac:dyDescent="0.25">
      <c r="B3" s="2"/>
      <c r="C3" s="2"/>
      <c r="D3" s="52" t="s">
        <v>0</v>
      </c>
      <c r="E3" s="53" t="s">
        <v>1</v>
      </c>
      <c r="F3" s="54" t="s">
        <v>2</v>
      </c>
      <c r="G3" s="28" t="s">
        <v>0</v>
      </c>
      <c r="H3" s="29" t="s">
        <v>1</v>
      </c>
      <c r="I3" s="30" t="s">
        <v>2</v>
      </c>
      <c r="J3" s="28" t="s">
        <v>0</v>
      </c>
      <c r="K3" s="29" t="s">
        <v>1</v>
      </c>
      <c r="L3" s="30" t="s">
        <v>2</v>
      </c>
      <c r="M3" s="28" t="s">
        <v>0</v>
      </c>
      <c r="N3" s="29" t="s">
        <v>1</v>
      </c>
      <c r="O3" s="30" t="s">
        <v>2</v>
      </c>
      <c r="P3" s="28" t="s">
        <v>0</v>
      </c>
      <c r="Q3" s="29" t="s">
        <v>1</v>
      </c>
      <c r="R3" s="30" t="s">
        <v>2</v>
      </c>
      <c r="S3" s="28" t="s">
        <v>0</v>
      </c>
      <c r="T3" s="29" t="s">
        <v>1</v>
      </c>
      <c r="U3" s="30" t="s">
        <v>2</v>
      </c>
    </row>
    <row r="4" spans="2:21" x14ac:dyDescent="0.2">
      <c r="B4" s="13" t="s">
        <v>5</v>
      </c>
      <c r="C4" s="16">
        <f>SUM(D4:F4)</f>
        <v>500</v>
      </c>
      <c r="D4" s="55">
        <v>42</v>
      </c>
      <c r="E4" s="56">
        <v>374</v>
      </c>
      <c r="F4" s="57">
        <v>84</v>
      </c>
      <c r="G4" s="12">
        <v>44</v>
      </c>
      <c r="H4" s="10">
        <v>336</v>
      </c>
      <c r="I4" s="11">
        <v>120</v>
      </c>
      <c r="J4" s="12">
        <v>44</v>
      </c>
      <c r="K4" s="10">
        <v>336</v>
      </c>
      <c r="L4" s="11">
        <v>120</v>
      </c>
      <c r="M4" s="40">
        <v>44</v>
      </c>
      <c r="N4" s="38">
        <v>324</v>
      </c>
      <c r="O4" s="41">
        <v>132</v>
      </c>
      <c r="P4" s="19">
        <v>44</v>
      </c>
      <c r="Q4" s="20">
        <v>336</v>
      </c>
      <c r="R4" s="21">
        <v>120</v>
      </c>
      <c r="S4" s="31">
        <f>P4/$C4</f>
        <v>8.7999999999999995E-2</v>
      </c>
      <c r="T4" s="31">
        <f t="shared" ref="T4:U4" si="0">Q4/$C4</f>
        <v>0.67200000000000004</v>
      </c>
      <c r="U4" s="32">
        <f t="shared" si="0"/>
        <v>0.24</v>
      </c>
    </row>
    <row r="5" spans="2:21" x14ac:dyDescent="0.2">
      <c r="B5" s="14" t="s">
        <v>6</v>
      </c>
      <c r="C5" s="17">
        <f>SUM(D5:F5)</f>
        <v>500</v>
      </c>
      <c r="D5" s="58">
        <v>37</v>
      </c>
      <c r="E5" s="59">
        <v>339</v>
      </c>
      <c r="F5" s="60">
        <v>124</v>
      </c>
      <c r="G5" s="6">
        <v>37</v>
      </c>
      <c r="H5" s="3">
        <v>257</v>
      </c>
      <c r="I5" s="5">
        <v>206</v>
      </c>
      <c r="J5" s="4">
        <v>37</v>
      </c>
      <c r="K5" s="3">
        <v>257</v>
      </c>
      <c r="L5" s="5">
        <v>206</v>
      </c>
      <c r="M5" s="14">
        <v>37</v>
      </c>
      <c r="N5" s="39">
        <v>307</v>
      </c>
      <c r="O5" s="42">
        <v>156</v>
      </c>
      <c r="P5" s="22">
        <v>37</v>
      </c>
      <c r="Q5" s="23">
        <v>257</v>
      </c>
      <c r="R5" s="24">
        <v>206</v>
      </c>
      <c r="S5" s="33">
        <f t="shared" ref="S5:S6" si="1">P5/$C5</f>
        <v>7.3999999999999996E-2</v>
      </c>
      <c r="T5" s="33">
        <f t="shared" ref="T5:T6" si="2">Q5/$C5</f>
        <v>0.51400000000000001</v>
      </c>
      <c r="U5" s="34">
        <f t="shared" ref="U5:U6" si="3">R5/$C5</f>
        <v>0.41199999999999998</v>
      </c>
    </row>
    <row r="6" spans="2:21" ht="17" thickBot="1" x14ac:dyDescent="0.25">
      <c r="B6" s="15" t="s">
        <v>7</v>
      </c>
      <c r="C6" s="18">
        <f>SUM(D6:F6)</f>
        <v>110</v>
      </c>
      <c r="D6" s="61">
        <v>10</v>
      </c>
      <c r="E6" s="62">
        <v>72</v>
      </c>
      <c r="F6" s="63">
        <v>28</v>
      </c>
      <c r="G6" s="9">
        <v>10</v>
      </c>
      <c r="H6" s="7">
        <v>72</v>
      </c>
      <c r="I6" s="8">
        <v>28</v>
      </c>
      <c r="J6" s="9">
        <v>10</v>
      </c>
      <c r="K6" s="7">
        <v>73</v>
      </c>
      <c r="L6" s="8">
        <v>27</v>
      </c>
      <c r="M6" s="43">
        <v>10</v>
      </c>
      <c r="N6" s="44">
        <v>73</v>
      </c>
      <c r="O6" s="45">
        <v>24</v>
      </c>
      <c r="P6" s="25">
        <v>10</v>
      </c>
      <c r="Q6" s="26">
        <v>72</v>
      </c>
      <c r="R6" s="27">
        <v>28</v>
      </c>
      <c r="S6" s="35">
        <f t="shared" si="1"/>
        <v>9.0909090909090912E-2</v>
      </c>
      <c r="T6" s="35">
        <f t="shared" si="2"/>
        <v>0.65454545454545454</v>
      </c>
      <c r="U6" s="36">
        <f t="shared" si="3"/>
        <v>0.25454545454545452</v>
      </c>
    </row>
    <row r="7" spans="2:21" x14ac:dyDescent="0.2">
      <c r="D7" s="1"/>
    </row>
    <row r="8" spans="2:21" x14ac:dyDescent="0.2">
      <c r="D8" s="1"/>
    </row>
  </sheetData>
  <mergeCells count="6">
    <mergeCell ref="D2:F2"/>
    <mergeCell ref="G2:I2"/>
    <mergeCell ref="J2:L2"/>
    <mergeCell ref="P2:R2"/>
    <mergeCell ref="S2:U2"/>
    <mergeCell ref="M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66EA-EEA7-5F4F-B810-6A860ED9ABCB}">
  <dimension ref="A2:P13"/>
  <sheetViews>
    <sheetView workbookViewId="0">
      <selection activeCell="B13" sqref="B13:D13"/>
    </sheetView>
  </sheetViews>
  <sheetFormatPr baseColWidth="10" defaultRowHeight="16" x14ac:dyDescent="0.2"/>
  <cols>
    <col min="1" max="1" width="16.6640625" customWidth="1"/>
    <col min="2" max="5" width="16.33203125" customWidth="1"/>
    <col min="12" max="12" width="19.83203125" customWidth="1"/>
  </cols>
  <sheetData>
    <row r="2" spans="1:16" ht="18" x14ac:dyDescent="0.2">
      <c r="B2" s="46" t="s">
        <v>0</v>
      </c>
      <c r="C2" s="46" t="s">
        <v>14</v>
      </c>
      <c r="D2" s="46" t="s">
        <v>2</v>
      </c>
      <c r="L2" s="47"/>
      <c r="M2" s="47"/>
      <c r="N2" s="47"/>
      <c r="O2" s="47"/>
      <c r="P2" s="47"/>
    </row>
    <row r="3" spans="1:16" x14ac:dyDescent="0.2">
      <c r="A3" t="s">
        <v>27</v>
      </c>
      <c r="B3" s="50">
        <v>4</v>
      </c>
      <c r="C3" s="50">
        <v>32</v>
      </c>
      <c r="D3" s="50">
        <v>14</v>
      </c>
      <c r="E3" s="50">
        <f t="shared" ref="E3:E12" si="0">SUM(B3:D3)</f>
        <v>50</v>
      </c>
      <c r="L3" s="48"/>
      <c r="M3" s="48"/>
      <c r="N3" s="48"/>
      <c r="O3" s="48"/>
      <c r="P3" s="48"/>
    </row>
    <row r="4" spans="1:16" x14ac:dyDescent="0.2">
      <c r="A4" t="s">
        <v>28</v>
      </c>
      <c r="B4" s="50">
        <v>4</v>
      </c>
      <c r="C4" s="50">
        <v>25</v>
      </c>
      <c r="D4" s="50">
        <v>21</v>
      </c>
      <c r="E4" s="50">
        <f t="shared" si="0"/>
        <v>50</v>
      </c>
      <c r="L4" s="48"/>
      <c r="M4" s="48"/>
      <c r="N4" s="48"/>
      <c r="O4" s="48"/>
      <c r="P4" s="48"/>
    </row>
    <row r="5" spans="1:16" x14ac:dyDescent="0.2">
      <c r="A5" t="s">
        <v>29</v>
      </c>
      <c r="B5" s="50">
        <v>4</v>
      </c>
      <c r="C5" s="50">
        <v>25</v>
      </c>
      <c r="D5" s="50">
        <v>21</v>
      </c>
      <c r="E5" s="50">
        <f t="shared" si="0"/>
        <v>50</v>
      </c>
      <c r="L5" s="48"/>
      <c r="M5" s="48"/>
      <c r="N5" s="48"/>
      <c r="O5" s="48"/>
      <c r="P5" s="48"/>
    </row>
    <row r="6" spans="1:16" x14ac:dyDescent="0.2">
      <c r="A6" t="s">
        <v>30</v>
      </c>
      <c r="B6" s="50">
        <v>5</v>
      </c>
      <c r="C6" s="50">
        <v>29</v>
      </c>
      <c r="D6" s="50">
        <v>16</v>
      </c>
      <c r="E6" s="50">
        <f t="shared" si="0"/>
        <v>50</v>
      </c>
      <c r="L6" s="48"/>
      <c r="M6" s="48"/>
      <c r="N6" s="48"/>
      <c r="O6" s="48"/>
      <c r="P6" s="48"/>
    </row>
    <row r="7" spans="1:16" x14ac:dyDescent="0.2">
      <c r="A7" t="s">
        <v>31</v>
      </c>
      <c r="B7" s="50">
        <v>4</v>
      </c>
      <c r="C7" s="50">
        <v>36</v>
      </c>
      <c r="D7" s="50">
        <v>10</v>
      </c>
      <c r="E7" s="50">
        <f t="shared" si="0"/>
        <v>50</v>
      </c>
      <c r="L7" s="48"/>
      <c r="M7" s="48"/>
      <c r="N7" s="48"/>
      <c r="O7" s="48"/>
      <c r="P7" s="48"/>
    </row>
    <row r="8" spans="1:16" x14ac:dyDescent="0.2">
      <c r="A8" t="s">
        <v>32</v>
      </c>
      <c r="B8" s="50">
        <v>4</v>
      </c>
      <c r="C8" s="50">
        <v>32</v>
      </c>
      <c r="D8" s="50">
        <v>14</v>
      </c>
      <c r="E8" s="50">
        <f t="shared" si="0"/>
        <v>50</v>
      </c>
      <c r="L8" s="48"/>
      <c r="M8" s="48"/>
      <c r="N8" s="48"/>
      <c r="O8" s="48"/>
      <c r="P8" s="48"/>
    </row>
    <row r="9" spans="1:16" x14ac:dyDescent="0.2">
      <c r="A9" t="s">
        <v>33</v>
      </c>
      <c r="B9" s="50">
        <v>5</v>
      </c>
      <c r="C9" s="50">
        <v>38</v>
      </c>
      <c r="D9" s="50">
        <v>7</v>
      </c>
      <c r="E9" s="50">
        <f t="shared" si="0"/>
        <v>50</v>
      </c>
      <c r="L9" s="48"/>
      <c r="M9" s="48"/>
      <c r="N9" s="48"/>
      <c r="O9" s="48"/>
      <c r="P9" s="48"/>
    </row>
    <row r="10" spans="1:16" x14ac:dyDescent="0.2">
      <c r="A10" t="s">
        <v>34</v>
      </c>
      <c r="B10" s="50">
        <v>5</v>
      </c>
      <c r="C10" s="50">
        <v>36</v>
      </c>
      <c r="D10" s="50">
        <v>9</v>
      </c>
      <c r="E10" s="50">
        <f t="shared" si="0"/>
        <v>50</v>
      </c>
    </row>
    <row r="11" spans="1:16" x14ac:dyDescent="0.2">
      <c r="A11" t="s">
        <v>35</v>
      </c>
      <c r="B11" s="51">
        <v>5</v>
      </c>
      <c r="C11" s="51">
        <v>35</v>
      </c>
      <c r="D11" s="51">
        <v>10</v>
      </c>
      <c r="E11" s="51">
        <f t="shared" si="0"/>
        <v>50</v>
      </c>
      <c r="F11" s="49" t="s">
        <v>37</v>
      </c>
      <c r="G11" s="50">
        <v>5</v>
      </c>
      <c r="H11" s="50">
        <v>32</v>
      </c>
      <c r="I11" s="50">
        <v>8</v>
      </c>
      <c r="J11" s="50">
        <f>SUM(G11:I11)</f>
        <v>45</v>
      </c>
    </row>
    <row r="12" spans="1:16" x14ac:dyDescent="0.2">
      <c r="A12" t="s">
        <v>36</v>
      </c>
      <c r="B12" s="50">
        <v>4</v>
      </c>
      <c r="C12" s="50">
        <v>36</v>
      </c>
      <c r="D12" s="50">
        <v>10</v>
      </c>
      <c r="E12" s="50">
        <f t="shared" si="0"/>
        <v>50</v>
      </c>
    </row>
    <row r="13" spans="1:16" x14ac:dyDescent="0.2">
      <c r="B13">
        <f>SUM(B3:B12)</f>
        <v>44</v>
      </c>
      <c r="C13">
        <f t="shared" ref="C13:E13" si="1">SUM(C3:C12)</f>
        <v>324</v>
      </c>
      <c r="D13">
        <f t="shared" si="1"/>
        <v>132</v>
      </c>
      <c r="E13">
        <f t="shared" si="1"/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45A0-3FCD-424D-B2FA-EA778A2C1E71}">
  <dimension ref="A1:E12"/>
  <sheetViews>
    <sheetView workbookViewId="0">
      <selection activeCell="B12" sqref="B12:D12"/>
    </sheetView>
  </sheetViews>
  <sheetFormatPr baseColWidth="10" defaultRowHeight="16" x14ac:dyDescent="0.2"/>
  <sheetData>
    <row r="1" spans="1:5" x14ac:dyDescent="0.2">
      <c r="B1" t="s">
        <v>38</v>
      </c>
      <c r="C1" t="s">
        <v>14</v>
      </c>
      <c r="D1" t="s">
        <v>2</v>
      </c>
    </row>
    <row r="2" spans="1:5" x14ac:dyDescent="0.2">
      <c r="A2" s="64" t="s">
        <v>27</v>
      </c>
      <c r="B2">
        <v>3</v>
      </c>
      <c r="C2">
        <v>32</v>
      </c>
      <c r="D2">
        <v>15</v>
      </c>
      <c r="E2">
        <f>SUM(B2:D2)</f>
        <v>50</v>
      </c>
    </row>
    <row r="3" spans="1:5" x14ac:dyDescent="0.2">
      <c r="A3" t="s">
        <v>28</v>
      </c>
      <c r="B3">
        <v>4</v>
      </c>
      <c r="C3">
        <v>32</v>
      </c>
      <c r="D3">
        <v>14</v>
      </c>
      <c r="E3">
        <f t="shared" ref="E3:E11" si="0">SUM(B3:D3)</f>
        <v>50</v>
      </c>
    </row>
    <row r="4" spans="1:5" x14ac:dyDescent="0.2">
      <c r="A4" t="s">
        <v>29</v>
      </c>
      <c r="B4">
        <v>2</v>
      </c>
      <c r="C4">
        <v>18</v>
      </c>
      <c r="D4">
        <v>30</v>
      </c>
      <c r="E4">
        <f t="shared" si="0"/>
        <v>50</v>
      </c>
    </row>
    <row r="5" spans="1:5" x14ac:dyDescent="0.2">
      <c r="A5" t="s">
        <v>30</v>
      </c>
      <c r="B5">
        <v>3</v>
      </c>
      <c r="C5">
        <v>36</v>
      </c>
      <c r="D5">
        <v>11</v>
      </c>
      <c r="E5">
        <f t="shared" si="0"/>
        <v>50</v>
      </c>
    </row>
    <row r="6" spans="1:5" x14ac:dyDescent="0.2">
      <c r="A6" t="s">
        <v>31</v>
      </c>
      <c r="B6">
        <v>3</v>
      </c>
      <c r="C6">
        <v>24</v>
      </c>
      <c r="D6">
        <v>23</v>
      </c>
      <c r="E6">
        <f t="shared" si="0"/>
        <v>50</v>
      </c>
    </row>
    <row r="7" spans="1:5" x14ac:dyDescent="0.2">
      <c r="A7" t="s">
        <v>32</v>
      </c>
      <c r="B7">
        <v>4</v>
      </c>
      <c r="C7">
        <v>30</v>
      </c>
      <c r="D7">
        <v>16</v>
      </c>
      <c r="E7">
        <f t="shared" si="0"/>
        <v>50</v>
      </c>
    </row>
    <row r="8" spans="1:5" x14ac:dyDescent="0.2">
      <c r="A8" t="s">
        <v>33</v>
      </c>
      <c r="B8">
        <v>5</v>
      </c>
      <c r="C8">
        <v>38</v>
      </c>
      <c r="D8">
        <v>7</v>
      </c>
      <c r="E8">
        <f t="shared" si="0"/>
        <v>50</v>
      </c>
    </row>
    <row r="9" spans="1:5" x14ac:dyDescent="0.2">
      <c r="A9" t="s">
        <v>34</v>
      </c>
      <c r="B9">
        <v>5</v>
      </c>
      <c r="C9">
        <v>26</v>
      </c>
      <c r="D9">
        <v>19</v>
      </c>
      <c r="E9">
        <f t="shared" si="0"/>
        <v>50</v>
      </c>
    </row>
    <row r="10" spans="1:5" x14ac:dyDescent="0.2">
      <c r="A10" t="s">
        <v>35</v>
      </c>
      <c r="B10">
        <v>4</v>
      </c>
      <c r="C10">
        <v>38</v>
      </c>
      <c r="D10">
        <v>8</v>
      </c>
      <c r="E10">
        <f t="shared" si="0"/>
        <v>50</v>
      </c>
    </row>
    <row r="11" spans="1:5" x14ac:dyDescent="0.2">
      <c r="A11" t="s">
        <v>36</v>
      </c>
      <c r="B11">
        <v>4</v>
      </c>
      <c r="C11">
        <v>33</v>
      </c>
      <c r="D11">
        <v>13</v>
      </c>
      <c r="E11">
        <f t="shared" si="0"/>
        <v>50</v>
      </c>
    </row>
    <row r="12" spans="1:5" x14ac:dyDescent="0.2">
      <c r="B12">
        <f>SUM(B2:B11)</f>
        <v>37</v>
      </c>
      <c r="C12">
        <f t="shared" ref="C12:E12" si="1">SUM(C2:C11)</f>
        <v>307</v>
      </c>
      <c r="D12">
        <f t="shared" si="1"/>
        <v>156</v>
      </c>
      <c r="E12">
        <f t="shared" si="1"/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687A-16D4-F54F-9E14-4D52C7FBF148}">
  <dimension ref="A1:H6"/>
  <sheetViews>
    <sheetView workbookViewId="0">
      <selection activeCell="C7" sqref="C7"/>
    </sheetView>
  </sheetViews>
  <sheetFormatPr baseColWidth="10" defaultRowHeight="16" x14ac:dyDescent="0.2"/>
  <cols>
    <col min="2" max="2" width="44.1640625" bestFit="1" customWidth="1"/>
    <col min="6" max="6" width="48" bestFit="1" customWidth="1"/>
  </cols>
  <sheetData>
    <row r="1" spans="1:8" x14ac:dyDescent="0.2">
      <c r="A1" t="s">
        <v>17</v>
      </c>
      <c r="E1" t="s">
        <v>19</v>
      </c>
    </row>
    <row r="2" spans="1:8" x14ac:dyDescent="0.2">
      <c r="A2" s="37" t="s">
        <v>10</v>
      </c>
      <c r="B2" s="37" t="s">
        <v>11</v>
      </c>
      <c r="C2" s="37" t="s">
        <v>12</v>
      </c>
      <c r="D2" s="37"/>
      <c r="E2" s="37" t="s">
        <v>20</v>
      </c>
      <c r="F2" s="37" t="s">
        <v>21</v>
      </c>
      <c r="G2" s="37" t="s">
        <v>12</v>
      </c>
    </row>
    <row r="3" spans="1:8" x14ac:dyDescent="0.2">
      <c r="A3" t="s">
        <v>0</v>
      </c>
      <c r="B3" t="s">
        <v>13</v>
      </c>
      <c r="C3">
        <v>4</v>
      </c>
      <c r="E3" t="s">
        <v>0</v>
      </c>
      <c r="F3" t="s">
        <v>22</v>
      </c>
      <c r="G3">
        <v>6</v>
      </c>
      <c r="H3">
        <f>G3+C3</f>
        <v>10</v>
      </c>
    </row>
    <row r="4" spans="1:8" x14ac:dyDescent="0.2">
      <c r="A4" t="s">
        <v>14</v>
      </c>
      <c r="B4" t="s">
        <v>15</v>
      </c>
      <c r="C4">
        <v>40</v>
      </c>
      <c r="E4" t="s">
        <v>14</v>
      </c>
      <c r="F4" t="s">
        <v>23</v>
      </c>
      <c r="G4">
        <v>33</v>
      </c>
      <c r="H4">
        <f t="shared" ref="H4:H5" si="0">G4+C4</f>
        <v>73</v>
      </c>
    </row>
    <row r="5" spans="1:8" x14ac:dyDescent="0.2">
      <c r="A5" t="s">
        <v>2</v>
      </c>
      <c r="B5" t="s">
        <v>16</v>
      </c>
      <c r="C5">
        <v>6</v>
      </c>
      <c r="E5" t="s">
        <v>2</v>
      </c>
      <c r="F5" t="s">
        <v>24</v>
      </c>
      <c r="G5">
        <v>18</v>
      </c>
      <c r="H5">
        <f t="shared" si="0"/>
        <v>24</v>
      </c>
    </row>
    <row r="6" spans="1:8" x14ac:dyDescent="0.2">
      <c r="C6">
        <f>SUM(C3:C5)</f>
        <v>50</v>
      </c>
      <c r="E6" t="s">
        <v>25</v>
      </c>
      <c r="F6" t="s">
        <v>26</v>
      </c>
      <c r="G6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</vt:lpstr>
      <vt:lpstr>Mondial - Gemini</vt:lpstr>
      <vt:lpstr>Formula 1 - Gemini</vt:lpstr>
      <vt:lpstr>Baseball - Gemini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Casanova</dc:creator>
  <cp:lastModifiedBy>Marco Antonio Casanova</cp:lastModifiedBy>
  <dcterms:created xsi:type="dcterms:W3CDTF">2026-08-05T13:52:40Z</dcterms:created>
  <dcterms:modified xsi:type="dcterms:W3CDTF">2026-08-08T14:44:10Z</dcterms:modified>
</cp:coreProperties>
</file>