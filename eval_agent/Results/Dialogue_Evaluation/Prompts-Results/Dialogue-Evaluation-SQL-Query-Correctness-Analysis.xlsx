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anova/Documents/2026/2-DI/Papers/2026-1-Submitted/2026-SNCS (Feb 25 - Extended WEBIST 2025)-A2/Results/Dialogue Evaluation/"/>
    </mc:Choice>
  </mc:AlternateContent>
  <xr:revisionPtr revIDLastSave="0" documentId="13_ncr:1_{2EC51E71-E8EC-B04A-930E-28A587F3A6A1}" xr6:coauthVersionLast="47" xr6:coauthVersionMax="47" xr10:uidLastSave="{00000000-0000-0000-0000-000000000000}"/>
  <bookViews>
    <workbookView xWindow="1340" yWindow="2660" windowWidth="23440" windowHeight="17660" xr2:uid="{460249F0-E916-BF48-BC3D-33BC3F06CA99}"/>
  </bookViews>
  <sheets>
    <sheet name="Sheet1" sheetId="1" r:id="rId1"/>
    <sheet name="Mondial - Gemini" sheetId="2" r:id="rId2"/>
    <sheet name="Formula 1 - Gemini" sheetId="3" r:id="rId3"/>
    <sheet name="Baseball - Gemin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B4" i="4"/>
  <c r="C4" i="4"/>
  <c r="C13" i="2"/>
  <c r="B13" i="2"/>
  <c r="D12" i="2"/>
  <c r="D11" i="2"/>
  <c r="D10" i="2"/>
  <c r="D9" i="2"/>
  <c r="D8" i="2"/>
  <c r="D7" i="2"/>
  <c r="D6" i="2"/>
  <c r="D5" i="2"/>
  <c r="D4" i="2"/>
  <c r="D3" i="2"/>
  <c r="D2" i="4"/>
  <c r="D4" i="4" s="1"/>
  <c r="C12" i="3"/>
  <c r="B12" i="3"/>
  <c r="D11" i="3"/>
  <c r="D10" i="3"/>
  <c r="D9" i="3"/>
  <c r="D8" i="3"/>
  <c r="D7" i="3"/>
  <c r="D6" i="3"/>
  <c r="D5" i="3"/>
  <c r="D4" i="3"/>
  <c r="D3" i="3"/>
  <c r="D2" i="3"/>
  <c r="D13" i="2" l="1"/>
  <c r="D12" i="3"/>
  <c r="O5" i="1" l="1"/>
  <c r="N6" i="1" l="1"/>
  <c r="N4" i="1"/>
  <c r="O4" i="1"/>
  <c r="O6" i="1"/>
  <c r="N5" i="1"/>
</calcChain>
</file>

<file path=xl/sharedStrings.xml><?xml version="1.0" encoding="utf-8"?>
<sst xmlns="http://schemas.openxmlformats.org/spreadsheetml/2006/main" count="49" uniqueCount="23">
  <si>
    <t>Sonnet 5 Medium</t>
  </si>
  <si>
    <t>K2.6 Instant High</t>
  </si>
  <si>
    <t>Mondial (50 x 10)</t>
  </si>
  <si>
    <t>Formula 1 (50 x 10)</t>
  </si>
  <si>
    <t>Hist. Baseball (11 x 10)</t>
  </si>
  <si>
    <t>Incorrect</t>
  </si>
  <si>
    <t>Correct</t>
  </si>
  <si>
    <t>Consensus (Count)</t>
  </si>
  <si>
    <t>Consensus (%)</t>
  </si>
  <si>
    <t>1 a 5</t>
  </si>
  <si>
    <t>6 a 10</t>
  </si>
  <si>
    <t>11 a 15</t>
  </si>
  <si>
    <t>16 a 20</t>
  </si>
  <si>
    <t>21 a 25</t>
  </si>
  <si>
    <t>26 a 30</t>
  </si>
  <si>
    <t>31 a 35</t>
  </si>
  <si>
    <t>36 a 40</t>
  </si>
  <si>
    <t>41 a 45</t>
  </si>
  <si>
    <t>46 a 50</t>
  </si>
  <si>
    <t>6 a 11</t>
  </si>
  <si>
    <t>Gemini 3.6 Thinking</t>
  </si>
  <si>
    <t>incorrect</t>
  </si>
  <si>
    <t>GPT-5.5 Instant (Discarded)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</si>
</sst>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FF0000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ptos Narrow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 applyAlignment="1">
      <alignment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 wrapText="1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4" xfId="0" applyFont="1" applyBorder="1"/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7" fillId="0" borderId="12" xfId="0" applyFont="1" applyBorder="1" applyAlignment="1">
      <alignment vertical="center" wrapText="1"/>
    </xf>
    <xf numFmtId="0" fontId="7" fillId="0" borderId="13" xfId="0" applyFont="1" applyBorder="1"/>
    <xf numFmtId="0" fontId="7" fillId="0" borderId="17" xfId="0" applyFont="1" applyBorder="1" applyAlignment="1">
      <alignment vertical="center" wrapText="1"/>
    </xf>
    <xf numFmtId="0" fontId="7" fillId="0" borderId="4" xfId="0" applyFont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9" xfId="0" applyNumberFormat="1" applyFont="1" applyBorder="1"/>
    <xf numFmtId="164" fontId="2" fillId="0" borderId="5" xfId="0" applyNumberFormat="1" applyFont="1" applyBorder="1"/>
    <xf numFmtId="164" fontId="2" fillId="0" borderId="8" xfId="0" applyNumberFormat="1" applyFont="1" applyBorder="1"/>
    <xf numFmtId="164" fontId="2" fillId="0" borderId="19" xfId="0" applyNumberFormat="1" applyFont="1" applyBorder="1"/>
    <xf numFmtId="164" fontId="2" fillId="0" borderId="18" xfId="0" applyNumberFormat="1" applyFont="1" applyBorder="1"/>
    <xf numFmtId="164" fontId="2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2EA0-BCB4-D745-8DBD-BF785FE06431}">
  <dimension ref="B1:O6"/>
  <sheetViews>
    <sheetView tabSelected="1" workbookViewId="0">
      <selection activeCell="N4" sqref="N4:O6"/>
    </sheetView>
  </sheetViews>
  <sheetFormatPr baseColWidth="10" defaultRowHeight="16" x14ac:dyDescent="0.2"/>
  <cols>
    <col min="2" max="2" width="21.1640625" customWidth="1"/>
    <col min="5" max="5" width="12.6640625" customWidth="1"/>
  </cols>
  <sheetData>
    <row r="1" spans="2:15" ht="17" thickBot="1" x14ac:dyDescent="0.25"/>
    <row r="2" spans="2:15" x14ac:dyDescent="0.2">
      <c r="B2" s="1"/>
      <c r="C2" s="1"/>
      <c r="D2" s="32" t="s">
        <v>22</v>
      </c>
      <c r="E2" s="33"/>
      <c r="F2" s="34" t="s">
        <v>0</v>
      </c>
      <c r="G2" s="35"/>
      <c r="H2" s="34" t="s">
        <v>1</v>
      </c>
      <c r="I2" s="35"/>
      <c r="J2" s="34" t="s">
        <v>20</v>
      </c>
      <c r="K2" s="35"/>
      <c r="L2" s="34" t="s">
        <v>7</v>
      </c>
      <c r="M2" s="35"/>
      <c r="N2" s="34" t="s">
        <v>8</v>
      </c>
      <c r="O2" s="35"/>
    </row>
    <row r="3" spans="2:15" ht="17" thickBot="1" x14ac:dyDescent="0.25">
      <c r="B3" s="1"/>
      <c r="C3" s="1"/>
      <c r="D3" s="21" t="s">
        <v>6</v>
      </c>
      <c r="E3" s="22" t="s">
        <v>5</v>
      </c>
      <c r="F3" s="15" t="s">
        <v>6</v>
      </c>
      <c r="G3" s="16" t="s">
        <v>5</v>
      </c>
      <c r="H3" s="15" t="s">
        <v>6</v>
      </c>
      <c r="I3" s="16" t="s">
        <v>5</v>
      </c>
      <c r="J3" s="15" t="s">
        <v>6</v>
      </c>
      <c r="K3" s="16" t="s">
        <v>5</v>
      </c>
      <c r="L3" s="15" t="s">
        <v>6</v>
      </c>
      <c r="M3" s="16" t="s">
        <v>5</v>
      </c>
      <c r="N3" s="15" t="s">
        <v>6</v>
      </c>
      <c r="O3" s="17" t="s">
        <v>5</v>
      </c>
    </row>
    <row r="4" spans="2:15" x14ac:dyDescent="0.2">
      <c r="B4" s="2" t="s">
        <v>2</v>
      </c>
      <c r="C4" s="3">
        <v>500</v>
      </c>
      <c r="D4" s="23">
        <v>500</v>
      </c>
      <c r="E4" s="24">
        <v>0</v>
      </c>
      <c r="F4" s="5">
        <v>467</v>
      </c>
      <c r="G4" s="4">
        <v>33</v>
      </c>
      <c r="H4" s="5">
        <v>500</v>
      </c>
      <c r="I4" s="4">
        <v>0</v>
      </c>
      <c r="J4" s="5">
        <v>472</v>
      </c>
      <c r="K4" s="4">
        <v>28</v>
      </c>
      <c r="L4" s="5">
        <v>472</v>
      </c>
      <c r="M4" s="4">
        <v>28</v>
      </c>
      <c r="N4" s="36">
        <f>L4/$C4</f>
        <v>0.94399999999999995</v>
      </c>
      <c r="O4" s="37">
        <f>M4/$C4</f>
        <v>5.6000000000000001E-2</v>
      </c>
    </row>
    <row r="5" spans="2:15" x14ac:dyDescent="0.2">
      <c r="B5" s="6" t="s">
        <v>3</v>
      </c>
      <c r="C5" s="7">
        <v>500</v>
      </c>
      <c r="D5" s="25">
        <v>500</v>
      </c>
      <c r="E5" s="26">
        <v>0</v>
      </c>
      <c r="F5" s="9">
        <v>363</v>
      </c>
      <c r="G5" s="8">
        <v>137</v>
      </c>
      <c r="H5" s="10">
        <v>500</v>
      </c>
      <c r="I5" s="8">
        <v>0</v>
      </c>
      <c r="J5" s="9">
        <v>495</v>
      </c>
      <c r="K5" s="8">
        <v>5</v>
      </c>
      <c r="L5" s="9">
        <v>495</v>
      </c>
      <c r="M5" s="8">
        <v>5</v>
      </c>
      <c r="N5" s="38">
        <f t="shared" ref="N5:N6" si="0">L5/$C5</f>
        <v>0.99</v>
      </c>
      <c r="O5" s="39">
        <f>M5/$C5</f>
        <v>0.01</v>
      </c>
    </row>
    <row r="6" spans="2:15" ht="17" thickBot="1" x14ac:dyDescent="0.25">
      <c r="B6" s="11" t="s">
        <v>4</v>
      </c>
      <c r="C6" s="12">
        <v>110</v>
      </c>
      <c r="D6" s="27">
        <v>110</v>
      </c>
      <c r="E6" s="28">
        <v>0</v>
      </c>
      <c r="F6" s="14">
        <v>100</v>
      </c>
      <c r="G6" s="13">
        <v>10</v>
      </c>
      <c r="H6" s="14">
        <v>106</v>
      </c>
      <c r="I6" s="13">
        <v>4</v>
      </c>
      <c r="J6" s="14">
        <v>108</v>
      </c>
      <c r="K6" s="13">
        <v>2</v>
      </c>
      <c r="L6" s="14">
        <v>108</v>
      </c>
      <c r="M6" s="13">
        <v>2</v>
      </c>
      <c r="N6" s="40">
        <f t="shared" si="0"/>
        <v>0.98181818181818181</v>
      </c>
      <c r="O6" s="41">
        <f>M6/$C6</f>
        <v>1.8181818181818181E-2</v>
      </c>
    </row>
  </sheetData>
  <mergeCells count="6">
    <mergeCell ref="D2:E2"/>
    <mergeCell ref="F2:G2"/>
    <mergeCell ref="H2:I2"/>
    <mergeCell ref="L2:M2"/>
    <mergeCell ref="N2:O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5BFA-C695-2A44-A24E-E878663DFA97}">
  <dimension ref="A2:G13"/>
  <sheetViews>
    <sheetView workbookViewId="0">
      <selection activeCell="B2" sqref="B2:C2"/>
    </sheetView>
  </sheetViews>
  <sheetFormatPr baseColWidth="10" defaultRowHeight="16" x14ac:dyDescent="0.2"/>
  <sheetData>
    <row r="2" spans="1:7" ht="18" x14ac:dyDescent="0.2">
      <c r="B2" s="19" t="s">
        <v>6</v>
      </c>
      <c r="C2" s="19" t="s">
        <v>5</v>
      </c>
    </row>
    <row r="3" spans="1:7" x14ac:dyDescent="0.2">
      <c r="A3" t="s">
        <v>9</v>
      </c>
      <c r="B3" s="29">
        <v>49</v>
      </c>
      <c r="C3" s="29">
        <v>1</v>
      </c>
      <c r="D3" s="20">
        <f t="shared" ref="D3:D12" si="0">SUM(B3:C3)</f>
        <v>50</v>
      </c>
    </row>
    <row r="4" spans="1:7" x14ac:dyDescent="0.2">
      <c r="A4" t="s">
        <v>10</v>
      </c>
      <c r="B4" s="29">
        <v>49</v>
      </c>
      <c r="C4" s="29">
        <v>1</v>
      </c>
      <c r="D4" s="20">
        <f t="shared" si="0"/>
        <v>50</v>
      </c>
    </row>
    <row r="5" spans="1:7" x14ac:dyDescent="0.2">
      <c r="A5" t="s">
        <v>11</v>
      </c>
      <c r="B5" s="29">
        <v>47</v>
      </c>
      <c r="C5" s="29">
        <v>3</v>
      </c>
      <c r="D5" s="20">
        <f t="shared" si="0"/>
        <v>50</v>
      </c>
    </row>
    <row r="6" spans="1:7" x14ac:dyDescent="0.2">
      <c r="A6" t="s">
        <v>12</v>
      </c>
      <c r="B6" s="29">
        <v>50</v>
      </c>
      <c r="C6" s="29">
        <v>0</v>
      </c>
      <c r="D6" s="20">
        <f t="shared" si="0"/>
        <v>50</v>
      </c>
    </row>
    <row r="7" spans="1:7" x14ac:dyDescent="0.2">
      <c r="A7" t="s">
        <v>13</v>
      </c>
      <c r="B7" s="29">
        <v>45</v>
      </c>
      <c r="C7" s="29">
        <v>5</v>
      </c>
      <c r="D7" s="20">
        <f t="shared" si="0"/>
        <v>50</v>
      </c>
    </row>
    <row r="8" spans="1:7" x14ac:dyDescent="0.2">
      <c r="A8" t="s">
        <v>14</v>
      </c>
      <c r="B8" s="29">
        <v>47</v>
      </c>
      <c r="C8" s="29">
        <v>3</v>
      </c>
      <c r="D8" s="20">
        <f t="shared" si="0"/>
        <v>50</v>
      </c>
    </row>
    <row r="9" spans="1:7" x14ac:dyDescent="0.2">
      <c r="A9" t="s">
        <v>15</v>
      </c>
      <c r="B9" s="29">
        <v>42</v>
      </c>
      <c r="C9" s="29">
        <v>8</v>
      </c>
      <c r="D9" s="20">
        <f t="shared" si="0"/>
        <v>50</v>
      </c>
    </row>
    <row r="10" spans="1:7" x14ac:dyDescent="0.2">
      <c r="A10" t="s">
        <v>16</v>
      </c>
      <c r="B10" s="29">
        <v>49</v>
      </c>
      <c r="C10" s="29">
        <v>1</v>
      </c>
      <c r="D10" s="20">
        <f t="shared" si="0"/>
        <v>50</v>
      </c>
    </row>
    <row r="11" spans="1:7" x14ac:dyDescent="0.2">
      <c r="A11" t="s">
        <v>17</v>
      </c>
      <c r="B11" s="30">
        <v>49</v>
      </c>
      <c r="C11" s="30">
        <v>1</v>
      </c>
      <c r="D11" s="20">
        <f t="shared" si="0"/>
        <v>50</v>
      </c>
      <c r="F11" s="29">
        <v>44</v>
      </c>
      <c r="G11" s="29">
        <v>1</v>
      </c>
    </row>
    <row r="12" spans="1:7" x14ac:dyDescent="0.2">
      <c r="A12" t="s">
        <v>18</v>
      </c>
      <c r="B12" s="30">
        <v>45</v>
      </c>
      <c r="C12" s="30">
        <v>5</v>
      </c>
      <c r="D12" s="20">
        <f t="shared" si="0"/>
        <v>50</v>
      </c>
      <c r="F12" s="29">
        <v>35</v>
      </c>
      <c r="G12" s="29">
        <v>5</v>
      </c>
    </row>
    <row r="13" spans="1:7" x14ac:dyDescent="0.2">
      <c r="B13">
        <f>SUM(B3:B12)</f>
        <v>472</v>
      </c>
      <c r="C13">
        <f t="shared" ref="C13:D13" si="1">SUM(C3:C12)</f>
        <v>28</v>
      </c>
      <c r="D13">
        <f t="shared" si="1"/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E6B5-C835-1841-98C2-242F9E5EA736}">
  <dimension ref="A1:G12"/>
  <sheetViews>
    <sheetView workbookViewId="0">
      <selection activeCell="B12" sqref="B12:C12"/>
    </sheetView>
  </sheetViews>
  <sheetFormatPr baseColWidth="10" defaultRowHeight="16" x14ac:dyDescent="0.2"/>
  <sheetData>
    <row r="1" spans="1:7" ht="18" x14ac:dyDescent="0.2">
      <c r="B1" s="19" t="s">
        <v>6</v>
      </c>
      <c r="C1" s="19" t="s">
        <v>5</v>
      </c>
    </row>
    <row r="2" spans="1:7" x14ac:dyDescent="0.2">
      <c r="A2" s="18" t="s">
        <v>9</v>
      </c>
      <c r="B2">
        <v>50</v>
      </c>
      <c r="C2">
        <v>0</v>
      </c>
      <c r="D2">
        <f t="shared" ref="D2:D11" si="0">SUM(B2:C2)</f>
        <v>50</v>
      </c>
    </row>
    <row r="3" spans="1:7" x14ac:dyDescent="0.2">
      <c r="A3" t="s">
        <v>10</v>
      </c>
      <c r="B3">
        <v>50</v>
      </c>
      <c r="C3">
        <v>0</v>
      </c>
      <c r="D3">
        <f t="shared" si="0"/>
        <v>50</v>
      </c>
    </row>
    <row r="4" spans="1:7" x14ac:dyDescent="0.2">
      <c r="A4" t="s">
        <v>11</v>
      </c>
      <c r="B4">
        <v>60</v>
      </c>
      <c r="C4">
        <v>0</v>
      </c>
      <c r="D4">
        <f t="shared" si="0"/>
        <v>60</v>
      </c>
    </row>
    <row r="5" spans="1:7" x14ac:dyDescent="0.2">
      <c r="A5" t="s">
        <v>12</v>
      </c>
      <c r="B5">
        <v>50</v>
      </c>
      <c r="C5">
        <v>0</v>
      </c>
      <c r="D5">
        <f t="shared" si="0"/>
        <v>50</v>
      </c>
    </row>
    <row r="6" spans="1:7" x14ac:dyDescent="0.2">
      <c r="A6" t="s">
        <v>13</v>
      </c>
      <c r="B6">
        <v>50</v>
      </c>
      <c r="C6">
        <v>0</v>
      </c>
      <c r="D6">
        <f t="shared" si="0"/>
        <v>50</v>
      </c>
    </row>
    <row r="7" spans="1:7" x14ac:dyDescent="0.2">
      <c r="A7" t="s">
        <v>14</v>
      </c>
      <c r="B7">
        <v>40</v>
      </c>
      <c r="C7">
        <v>0</v>
      </c>
      <c r="D7">
        <f t="shared" si="0"/>
        <v>40</v>
      </c>
    </row>
    <row r="8" spans="1:7" x14ac:dyDescent="0.2">
      <c r="A8" t="s">
        <v>15</v>
      </c>
      <c r="B8">
        <v>50</v>
      </c>
      <c r="C8">
        <v>0</v>
      </c>
      <c r="D8">
        <f t="shared" si="0"/>
        <v>50</v>
      </c>
    </row>
    <row r="9" spans="1:7" x14ac:dyDescent="0.2">
      <c r="A9" t="s">
        <v>16</v>
      </c>
      <c r="B9" s="31">
        <v>48</v>
      </c>
      <c r="C9" s="31">
        <v>2</v>
      </c>
      <c r="D9">
        <f t="shared" si="0"/>
        <v>50</v>
      </c>
      <c r="F9">
        <v>38</v>
      </c>
      <c r="G9">
        <v>2</v>
      </c>
    </row>
    <row r="10" spans="1:7" x14ac:dyDescent="0.2">
      <c r="A10" t="s">
        <v>17</v>
      </c>
      <c r="B10">
        <v>48</v>
      </c>
      <c r="C10">
        <v>2</v>
      </c>
      <c r="D10">
        <f t="shared" si="0"/>
        <v>50</v>
      </c>
    </row>
    <row r="11" spans="1:7" x14ac:dyDescent="0.2">
      <c r="A11" t="s">
        <v>18</v>
      </c>
      <c r="B11">
        <v>49</v>
      </c>
      <c r="C11">
        <v>1</v>
      </c>
      <c r="D11">
        <f t="shared" si="0"/>
        <v>50</v>
      </c>
    </row>
    <row r="12" spans="1:7" x14ac:dyDescent="0.2">
      <c r="B12">
        <f>SUM(B2:B11)</f>
        <v>495</v>
      </c>
      <c r="C12">
        <f t="shared" ref="C12:D12" si="1">SUM(C2:C11)</f>
        <v>5</v>
      </c>
      <c r="D12">
        <f t="shared" si="1"/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0B1-6B89-F74E-A6CD-B26EF5B66327}">
  <dimension ref="A1:D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B1" t="s">
        <v>6</v>
      </c>
      <c r="C1" t="s">
        <v>21</v>
      </c>
    </row>
    <row r="2" spans="1:4" x14ac:dyDescent="0.2">
      <c r="A2" s="18" t="s">
        <v>9</v>
      </c>
      <c r="B2">
        <v>49</v>
      </c>
      <c r="C2">
        <v>1</v>
      </c>
      <c r="D2">
        <f>SUM(B2:C2)</f>
        <v>50</v>
      </c>
    </row>
    <row r="3" spans="1:4" x14ac:dyDescent="0.2">
      <c r="A3" t="s">
        <v>19</v>
      </c>
      <c r="B3">
        <v>56</v>
      </c>
      <c r="C3">
        <v>1</v>
      </c>
      <c r="D3">
        <f>SUM(B3:C3)</f>
        <v>57</v>
      </c>
    </row>
    <row r="4" spans="1:4" x14ac:dyDescent="0.2">
      <c r="B4">
        <f>SUM(B2:B3)</f>
        <v>105</v>
      </c>
      <c r="C4">
        <f>SUM(C2:C3)</f>
        <v>2</v>
      </c>
      <c r="D4">
        <f>SUM(D2:D3)</f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Mondial - Gemini</vt:lpstr>
      <vt:lpstr>Formula 1 - Gemini</vt:lpstr>
      <vt:lpstr>Baseball - 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Casanova</dc:creator>
  <cp:lastModifiedBy>Marco Antonio Casanova</cp:lastModifiedBy>
  <dcterms:created xsi:type="dcterms:W3CDTF">2026-08-05T18:44:27Z</dcterms:created>
  <dcterms:modified xsi:type="dcterms:W3CDTF">2026-08-08T16:14:25Z</dcterms:modified>
</cp:coreProperties>
</file>