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sanova/Documents/2026/2-DI/Papers/2026-1-Submitted/2026-SNCS (Feb 25 - Extended WEBIST 2025)-A2/Results/Dialogue Evaluation/"/>
    </mc:Choice>
  </mc:AlternateContent>
  <xr:revisionPtr revIDLastSave="0" documentId="13_ncr:1_{4573D7BC-C0BA-5B41-BA93-A2964DF99FAF}" xr6:coauthVersionLast="47" xr6:coauthVersionMax="47" xr10:uidLastSave="{00000000-0000-0000-0000-000000000000}"/>
  <bookViews>
    <workbookView xWindow="500" yWindow="1440" windowWidth="24660" windowHeight="17460" xr2:uid="{460249F0-E916-BF48-BC3D-33BC3F06CA99}"/>
  </bookViews>
  <sheets>
    <sheet name="Sum" sheetId="1" r:id="rId1"/>
    <sheet name="Mondial - Gemini" sheetId="2" r:id="rId2"/>
    <sheet name="Formula 1 - Gemini" sheetId="3" r:id="rId3"/>
    <sheet name="Baseball - Gemin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2" i="3" l="1"/>
  <c r="B12" i="3"/>
  <c r="D11" i="3"/>
  <c r="D10" i="3"/>
  <c r="D9" i="3"/>
  <c r="D8" i="3"/>
  <c r="D7" i="3"/>
  <c r="D6" i="3"/>
  <c r="D5" i="3"/>
  <c r="D4" i="3"/>
  <c r="D3" i="3"/>
  <c r="D2" i="3"/>
  <c r="D4" i="4"/>
  <c r="D3" i="4"/>
  <c r="C12" i="2"/>
  <c r="B12" i="2"/>
  <c r="D3" i="2"/>
  <c r="D4" i="2"/>
  <c r="D5" i="2"/>
  <c r="D6" i="2"/>
  <c r="D7" i="2"/>
  <c r="D8" i="2"/>
  <c r="D9" i="2"/>
  <c r="D10" i="2"/>
  <c r="D11" i="2"/>
  <c r="D2" i="2"/>
  <c r="D12" i="3" l="1"/>
  <c r="D12" i="2"/>
  <c r="D2" i="4"/>
  <c r="O5" i="1"/>
  <c r="N6" i="1" l="1"/>
  <c r="N4" i="1"/>
  <c r="O4" i="1"/>
  <c r="O6" i="1"/>
  <c r="N5" i="1"/>
</calcChain>
</file>

<file path=xl/sharedStrings.xml><?xml version="1.0" encoding="utf-8"?>
<sst xmlns="http://schemas.openxmlformats.org/spreadsheetml/2006/main" count="49" uniqueCount="21">
  <si>
    <t>Sonnet 5 Medium</t>
  </si>
  <si>
    <t>K2.6 Instant High</t>
  </si>
  <si>
    <t>Mondial (50 x 10)</t>
  </si>
  <si>
    <t>Formula 1 (50 x 10)</t>
  </si>
  <si>
    <t>Hist. Baseball (11 x 10)</t>
  </si>
  <si>
    <t>Incorrect</t>
  </si>
  <si>
    <t>Correct</t>
  </si>
  <si>
    <t>Consensus (Count)</t>
  </si>
  <si>
    <t>Consensus (%)</t>
  </si>
  <si>
    <t>1 a 5</t>
  </si>
  <si>
    <t>6 a 10</t>
  </si>
  <si>
    <t>11 a 15</t>
  </si>
  <si>
    <t>16 a 20</t>
  </si>
  <si>
    <t>21 a 25</t>
  </si>
  <si>
    <t>26 a 30</t>
  </si>
  <si>
    <t>31 a 35</t>
  </si>
  <si>
    <t>36 a 40</t>
  </si>
  <si>
    <t>41 a 45</t>
  </si>
  <si>
    <t>46 a 50</t>
  </si>
  <si>
    <t>Gemini 3.6 Thinking</t>
  </si>
  <si>
    <t>GPT-5.5 Instant (Discarded)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</si>
</sst>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ptos Narrow"/>
      <scheme val="minor"/>
    </font>
    <font>
      <b/>
      <sz val="14"/>
      <color theme="1"/>
      <name val="Arial"/>
      <family val="2"/>
    </font>
    <font>
      <b/>
      <sz val="12"/>
      <color theme="1"/>
      <name val="Aptos Narrow"/>
      <scheme val="minor"/>
    </font>
    <font>
      <sz val="12"/>
      <color rgb="FFFF0000"/>
      <name val="Aptos Narrow"/>
      <scheme val="minor"/>
    </font>
    <font>
      <b/>
      <sz val="12"/>
      <color rgb="FFFF0000"/>
      <name val="Aptos Narrow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 applyAlignment="1">
      <alignment vertical="center" wrapText="1"/>
    </xf>
    <xf numFmtId="9" fontId="2" fillId="0" borderId="9" xfId="0" applyNumberFormat="1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 applyAlignment="1">
      <alignment vertical="center" wrapText="1"/>
    </xf>
    <xf numFmtId="9" fontId="2" fillId="0" borderId="8" xfId="0" applyNumberFormat="1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 applyAlignment="1">
      <alignment vertical="center" wrapText="1"/>
    </xf>
    <xf numFmtId="0" fontId="1" fillId="0" borderId="4" xfId="0" applyFont="1" applyBorder="1"/>
    <xf numFmtId="9" fontId="2" fillId="0" borderId="16" xfId="0" applyNumberFormat="1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1" fillId="0" borderId="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3" xfId="0" applyFont="1" applyBorder="1" applyAlignment="1">
      <alignment vertical="center" wrapText="1"/>
    </xf>
    <xf numFmtId="0" fontId="1" fillId="0" borderId="18" xfId="0" applyFont="1" applyBorder="1"/>
    <xf numFmtId="0" fontId="1" fillId="0" borderId="6" xfId="0" applyFont="1" applyBorder="1" applyAlignment="1">
      <alignment vertical="center" wrapText="1"/>
    </xf>
    <xf numFmtId="9" fontId="2" fillId="0" borderId="5" xfId="0" applyNumberFormat="1" applyFont="1" applyBorder="1"/>
    <xf numFmtId="9" fontId="2" fillId="0" borderId="21" xfId="0" applyNumberFormat="1" applyFont="1" applyBorder="1"/>
    <xf numFmtId="9" fontId="2" fillId="0" borderId="22" xfId="0" applyNumberFormat="1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/>
    <xf numFmtId="0" fontId="8" fillId="0" borderId="3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9" fillId="0" borderId="8" xfId="0" applyFont="1" applyBorder="1"/>
    <xf numFmtId="0" fontId="9" fillId="0" borderId="19" xfId="0" applyFont="1" applyBorder="1"/>
    <xf numFmtId="0" fontId="9" fillId="0" borderId="12" xfId="0" applyFont="1" applyBorder="1" applyAlignment="1">
      <alignment vertical="center" wrapText="1"/>
    </xf>
    <xf numFmtId="0" fontId="9" fillId="0" borderId="20" xfId="0" applyFont="1" applyBorder="1"/>
    <xf numFmtId="0" fontId="9" fillId="0" borderId="3" xfId="0" applyFont="1" applyBorder="1" applyAlignment="1">
      <alignment vertical="center" wrapText="1"/>
    </xf>
    <xf numFmtId="0" fontId="9" fillId="0" borderId="18" xfId="0" applyFont="1" applyBorder="1"/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02EA0-BCB4-D745-8DBD-BF785FE06431}">
  <dimension ref="B1:O6"/>
  <sheetViews>
    <sheetView tabSelected="1" workbookViewId="0">
      <selection activeCell="F12" sqref="F12"/>
    </sheetView>
  </sheetViews>
  <sheetFormatPr baseColWidth="10" defaultRowHeight="16" x14ac:dyDescent="0.2"/>
  <cols>
    <col min="2" max="2" width="21.1640625" customWidth="1"/>
    <col min="5" max="5" width="13" customWidth="1"/>
  </cols>
  <sheetData>
    <row r="1" spans="2:15" ht="17" thickBot="1" x14ac:dyDescent="0.25"/>
    <row r="2" spans="2:15" x14ac:dyDescent="0.2">
      <c r="B2" s="1"/>
      <c r="C2" s="1"/>
      <c r="D2" s="42" t="s">
        <v>20</v>
      </c>
      <c r="E2" s="43"/>
      <c r="F2" s="44" t="s">
        <v>0</v>
      </c>
      <c r="G2" s="45"/>
      <c r="H2" s="44" t="s">
        <v>1</v>
      </c>
      <c r="I2" s="45"/>
      <c r="J2" s="44" t="s">
        <v>19</v>
      </c>
      <c r="K2" s="45"/>
      <c r="L2" s="46" t="s">
        <v>7</v>
      </c>
      <c r="M2" s="45"/>
      <c r="N2" s="44" t="s">
        <v>8</v>
      </c>
      <c r="O2" s="45"/>
    </row>
    <row r="3" spans="2:15" ht="17" thickBot="1" x14ac:dyDescent="0.25">
      <c r="B3" s="1"/>
      <c r="C3" s="1"/>
      <c r="D3" s="34" t="s">
        <v>6</v>
      </c>
      <c r="E3" s="35" t="s">
        <v>5</v>
      </c>
      <c r="F3" s="16" t="s">
        <v>6</v>
      </c>
      <c r="G3" s="19" t="s">
        <v>5</v>
      </c>
      <c r="H3" s="16" t="s">
        <v>6</v>
      </c>
      <c r="I3" s="19" t="s">
        <v>5</v>
      </c>
      <c r="J3" s="16" t="s">
        <v>6</v>
      </c>
      <c r="K3" s="19" t="s">
        <v>5</v>
      </c>
      <c r="L3" s="18" t="s">
        <v>6</v>
      </c>
      <c r="M3" s="17" t="s">
        <v>5</v>
      </c>
      <c r="N3" s="16" t="s">
        <v>6</v>
      </c>
      <c r="O3" s="19" t="s">
        <v>5</v>
      </c>
    </row>
    <row r="4" spans="2:15" x14ac:dyDescent="0.2">
      <c r="B4" s="2" t="s">
        <v>2</v>
      </c>
      <c r="C4" s="3">
        <v>500</v>
      </c>
      <c r="D4" s="36">
        <v>500</v>
      </c>
      <c r="E4" s="37">
        <v>0</v>
      </c>
      <c r="F4" s="20">
        <v>500</v>
      </c>
      <c r="G4" s="21">
        <v>0</v>
      </c>
      <c r="H4" s="5">
        <v>500</v>
      </c>
      <c r="I4" s="21">
        <v>0</v>
      </c>
      <c r="J4" s="5">
        <v>500</v>
      </c>
      <c r="K4" s="21">
        <v>0</v>
      </c>
      <c r="L4" s="25">
        <v>500</v>
      </c>
      <c r="M4" s="4">
        <v>0</v>
      </c>
      <c r="N4" s="6">
        <f>L4/$C4</f>
        <v>1</v>
      </c>
      <c r="O4" s="26">
        <f>M4/$C4</f>
        <v>0</v>
      </c>
    </row>
    <row r="5" spans="2:15" x14ac:dyDescent="0.2">
      <c r="B5" s="7" t="s">
        <v>3</v>
      </c>
      <c r="C5" s="8">
        <v>500</v>
      </c>
      <c r="D5" s="38">
        <v>500</v>
      </c>
      <c r="E5" s="39">
        <v>0</v>
      </c>
      <c r="F5" s="9">
        <v>500</v>
      </c>
      <c r="G5" s="22">
        <v>0</v>
      </c>
      <c r="H5" s="5">
        <v>500</v>
      </c>
      <c r="I5" s="21">
        <v>0</v>
      </c>
      <c r="J5" s="5">
        <v>500</v>
      </c>
      <c r="K5" s="21">
        <v>0</v>
      </c>
      <c r="L5" s="25">
        <v>500</v>
      </c>
      <c r="M5" s="4">
        <v>0</v>
      </c>
      <c r="N5" s="10">
        <f t="shared" ref="N5:N6" si="0">L5/$C5</f>
        <v>1</v>
      </c>
      <c r="O5" s="27">
        <f>M5/$C5</f>
        <v>0</v>
      </c>
    </row>
    <row r="6" spans="2:15" ht="17" thickBot="1" x14ac:dyDescent="0.25">
      <c r="B6" s="11" t="s">
        <v>4</v>
      </c>
      <c r="C6" s="12">
        <v>110</v>
      </c>
      <c r="D6" s="40">
        <v>110</v>
      </c>
      <c r="E6" s="41">
        <v>0</v>
      </c>
      <c r="F6" s="23">
        <v>110</v>
      </c>
      <c r="G6" s="24">
        <v>0</v>
      </c>
      <c r="H6" s="23">
        <v>110</v>
      </c>
      <c r="I6" s="24">
        <v>0</v>
      </c>
      <c r="J6" s="23">
        <v>110</v>
      </c>
      <c r="K6" s="24">
        <v>0</v>
      </c>
      <c r="L6" s="13">
        <v>110</v>
      </c>
      <c r="M6" s="14">
        <v>0</v>
      </c>
      <c r="N6" s="15">
        <f t="shared" si="0"/>
        <v>1</v>
      </c>
      <c r="O6" s="28">
        <f>M6/$C6</f>
        <v>0</v>
      </c>
    </row>
  </sheetData>
  <mergeCells count="6">
    <mergeCell ref="D2:E2"/>
    <mergeCell ref="F2:G2"/>
    <mergeCell ref="H2:I2"/>
    <mergeCell ref="L2:M2"/>
    <mergeCell ref="N2:O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C7F26-2C08-5149-A49B-28F095DEC0BF}">
  <dimension ref="A1:G12"/>
  <sheetViews>
    <sheetView workbookViewId="0">
      <selection sqref="A1:D12"/>
    </sheetView>
  </sheetViews>
  <sheetFormatPr baseColWidth="10" defaultRowHeight="16" x14ac:dyDescent="0.2"/>
  <sheetData>
    <row r="1" spans="1:7" ht="18" x14ac:dyDescent="0.2">
      <c r="A1" s="29"/>
      <c r="B1" s="30" t="s">
        <v>6</v>
      </c>
      <c r="C1" s="30" t="s">
        <v>5</v>
      </c>
    </row>
    <row r="2" spans="1:7" x14ac:dyDescent="0.2">
      <c r="A2" s="29" t="s">
        <v>9</v>
      </c>
      <c r="B2" s="31">
        <v>50</v>
      </c>
      <c r="C2" s="31">
        <v>0</v>
      </c>
      <c r="D2">
        <f t="shared" ref="D2:D12" si="0">SUM(B2:C2)</f>
        <v>50</v>
      </c>
    </row>
    <row r="3" spans="1:7" x14ac:dyDescent="0.2">
      <c r="A3" s="29" t="s">
        <v>10</v>
      </c>
      <c r="B3" s="31">
        <v>50</v>
      </c>
      <c r="C3" s="31">
        <v>0</v>
      </c>
      <c r="D3">
        <f t="shared" si="0"/>
        <v>50</v>
      </c>
      <c r="F3" s="31"/>
      <c r="G3" s="31"/>
    </row>
    <row r="4" spans="1:7" x14ac:dyDescent="0.2">
      <c r="A4" s="29" t="s">
        <v>11</v>
      </c>
      <c r="B4" s="31">
        <v>50</v>
      </c>
      <c r="C4" s="31">
        <v>0</v>
      </c>
      <c r="D4">
        <f t="shared" si="0"/>
        <v>50</v>
      </c>
    </row>
    <row r="5" spans="1:7" x14ac:dyDescent="0.2">
      <c r="A5" s="29" t="s">
        <v>12</v>
      </c>
      <c r="B5" s="31">
        <v>50</v>
      </c>
      <c r="C5" s="31">
        <v>0</v>
      </c>
      <c r="D5">
        <f t="shared" si="0"/>
        <v>50</v>
      </c>
    </row>
    <row r="6" spans="1:7" x14ac:dyDescent="0.2">
      <c r="A6" s="29" t="s">
        <v>13</v>
      </c>
      <c r="B6" s="31">
        <v>50</v>
      </c>
      <c r="C6" s="31">
        <v>0</v>
      </c>
      <c r="D6">
        <f t="shared" si="0"/>
        <v>50</v>
      </c>
    </row>
    <row r="7" spans="1:7" x14ac:dyDescent="0.2">
      <c r="A7" s="29" t="s">
        <v>14</v>
      </c>
      <c r="B7" s="31">
        <v>50</v>
      </c>
      <c r="C7" s="31">
        <v>0</v>
      </c>
      <c r="D7">
        <f t="shared" si="0"/>
        <v>50</v>
      </c>
    </row>
    <row r="8" spans="1:7" x14ac:dyDescent="0.2">
      <c r="A8" s="29" t="s">
        <v>15</v>
      </c>
      <c r="B8" s="31">
        <v>50</v>
      </c>
      <c r="C8" s="31">
        <v>0</v>
      </c>
      <c r="D8">
        <f t="shared" si="0"/>
        <v>50</v>
      </c>
    </row>
    <row r="9" spans="1:7" x14ac:dyDescent="0.2">
      <c r="A9" s="29" t="s">
        <v>16</v>
      </c>
      <c r="B9" s="31">
        <v>50</v>
      </c>
      <c r="C9" s="31">
        <v>0</v>
      </c>
      <c r="D9">
        <f t="shared" si="0"/>
        <v>50</v>
      </c>
    </row>
    <row r="10" spans="1:7" x14ac:dyDescent="0.2">
      <c r="A10" s="29" t="s">
        <v>17</v>
      </c>
      <c r="B10" s="32">
        <v>50</v>
      </c>
      <c r="C10" s="32">
        <v>0</v>
      </c>
      <c r="D10">
        <f t="shared" si="0"/>
        <v>50</v>
      </c>
    </row>
    <row r="11" spans="1:7" x14ac:dyDescent="0.2">
      <c r="A11" s="29" t="s">
        <v>18</v>
      </c>
      <c r="B11" s="31">
        <v>50</v>
      </c>
      <c r="C11" s="31">
        <v>0</v>
      </c>
      <c r="D11">
        <f t="shared" si="0"/>
        <v>50</v>
      </c>
    </row>
    <row r="12" spans="1:7" x14ac:dyDescent="0.2">
      <c r="B12">
        <f>SUM(B2:B11)</f>
        <v>500</v>
      </c>
      <c r="C12">
        <f t="shared" ref="C12" si="1">SUM(C2:C11)</f>
        <v>0</v>
      </c>
      <c r="D12">
        <f t="shared" si="0"/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48F51-DAD0-C04F-AC72-A576F527C6AE}">
  <dimension ref="A1:D12"/>
  <sheetViews>
    <sheetView workbookViewId="0">
      <selection activeCell="D17" sqref="D17"/>
    </sheetView>
  </sheetViews>
  <sheetFormatPr baseColWidth="10" defaultRowHeight="16" x14ac:dyDescent="0.2"/>
  <sheetData>
    <row r="1" spans="1:4" ht="18" x14ac:dyDescent="0.2">
      <c r="A1" s="29"/>
      <c r="B1" s="30" t="s">
        <v>6</v>
      </c>
      <c r="C1" s="30" t="s">
        <v>5</v>
      </c>
    </row>
    <row r="2" spans="1:4" x14ac:dyDescent="0.2">
      <c r="A2" s="29" t="s">
        <v>9</v>
      </c>
      <c r="B2" s="29">
        <v>50</v>
      </c>
      <c r="C2" s="29">
        <v>0</v>
      </c>
      <c r="D2">
        <f t="shared" ref="D2:D12" si="0">SUM(B2:C2)</f>
        <v>50</v>
      </c>
    </row>
    <row r="3" spans="1:4" x14ac:dyDescent="0.2">
      <c r="A3" s="29" t="s">
        <v>10</v>
      </c>
      <c r="B3" s="33">
        <v>40</v>
      </c>
      <c r="C3" s="33">
        <v>0</v>
      </c>
      <c r="D3" s="33">
        <f t="shared" si="0"/>
        <v>40</v>
      </c>
    </row>
    <row r="4" spans="1:4" x14ac:dyDescent="0.2">
      <c r="A4" s="29" t="s">
        <v>11</v>
      </c>
      <c r="B4" s="33">
        <v>60</v>
      </c>
      <c r="C4" s="33">
        <v>0</v>
      </c>
      <c r="D4" s="33">
        <f t="shared" si="0"/>
        <v>60</v>
      </c>
    </row>
    <row r="5" spans="1:4" x14ac:dyDescent="0.2">
      <c r="A5" s="29" t="s">
        <v>12</v>
      </c>
      <c r="B5" s="29">
        <v>50</v>
      </c>
      <c r="C5" s="29">
        <v>0</v>
      </c>
      <c r="D5">
        <f t="shared" si="0"/>
        <v>50</v>
      </c>
    </row>
    <row r="6" spans="1:4" x14ac:dyDescent="0.2">
      <c r="A6" s="29" t="s">
        <v>13</v>
      </c>
      <c r="B6" s="29">
        <v>50</v>
      </c>
      <c r="C6" s="29">
        <v>0</v>
      </c>
      <c r="D6">
        <f t="shared" si="0"/>
        <v>50</v>
      </c>
    </row>
    <row r="7" spans="1:4" x14ac:dyDescent="0.2">
      <c r="A7" s="29" t="s">
        <v>14</v>
      </c>
      <c r="B7" s="29">
        <v>50</v>
      </c>
      <c r="C7" s="29">
        <v>0</v>
      </c>
      <c r="D7">
        <f t="shared" si="0"/>
        <v>50</v>
      </c>
    </row>
    <row r="8" spans="1:4" x14ac:dyDescent="0.2">
      <c r="A8" s="29" t="s">
        <v>15</v>
      </c>
      <c r="B8" s="29">
        <v>50</v>
      </c>
      <c r="C8" s="29">
        <v>0</v>
      </c>
      <c r="D8">
        <f t="shared" si="0"/>
        <v>50</v>
      </c>
    </row>
    <row r="9" spans="1:4" x14ac:dyDescent="0.2">
      <c r="A9" s="29" t="s">
        <v>16</v>
      </c>
      <c r="B9" s="29">
        <v>50</v>
      </c>
      <c r="C9" s="29">
        <v>0</v>
      </c>
      <c r="D9">
        <f t="shared" si="0"/>
        <v>50</v>
      </c>
    </row>
    <row r="10" spans="1:4" x14ac:dyDescent="0.2">
      <c r="A10" s="29" t="s">
        <v>17</v>
      </c>
      <c r="B10" s="29">
        <v>50</v>
      </c>
      <c r="C10" s="29">
        <v>0</v>
      </c>
      <c r="D10">
        <f t="shared" si="0"/>
        <v>50</v>
      </c>
    </row>
    <row r="11" spans="1:4" x14ac:dyDescent="0.2">
      <c r="A11" s="29" t="s">
        <v>18</v>
      </c>
      <c r="B11" s="29">
        <v>50</v>
      </c>
      <c r="C11" s="29">
        <v>0</v>
      </c>
      <c r="D11">
        <f t="shared" si="0"/>
        <v>50</v>
      </c>
    </row>
    <row r="12" spans="1:4" x14ac:dyDescent="0.2">
      <c r="B12">
        <f>SUM(B2:B11)</f>
        <v>500</v>
      </c>
      <c r="C12">
        <f t="shared" ref="C12" si="1">SUM(C2:C11)</f>
        <v>0</v>
      </c>
      <c r="D12">
        <f t="shared" si="0"/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6F86-8199-DA47-A2D0-6383335CA5A1}">
  <dimension ref="A1:D4"/>
  <sheetViews>
    <sheetView workbookViewId="0">
      <selection activeCell="D5" sqref="D5"/>
    </sheetView>
  </sheetViews>
  <sheetFormatPr baseColWidth="10" defaultRowHeight="16" x14ac:dyDescent="0.2"/>
  <sheetData>
    <row r="1" spans="1:4" x14ac:dyDescent="0.2">
      <c r="B1" t="s">
        <v>6</v>
      </c>
      <c r="C1" t="s">
        <v>5</v>
      </c>
    </row>
    <row r="2" spans="1:4" x14ac:dyDescent="0.2">
      <c r="A2" t="s">
        <v>9</v>
      </c>
      <c r="B2">
        <v>55</v>
      </c>
      <c r="C2">
        <v>0</v>
      </c>
      <c r="D2">
        <f>SUM(B2:C2)</f>
        <v>55</v>
      </c>
    </row>
    <row r="3" spans="1:4" x14ac:dyDescent="0.2">
      <c r="A3" t="s">
        <v>10</v>
      </c>
      <c r="B3">
        <v>55</v>
      </c>
      <c r="C3">
        <v>0</v>
      </c>
      <c r="D3">
        <f>SUM(B3:C3)</f>
        <v>55</v>
      </c>
    </row>
    <row r="4" spans="1:4" x14ac:dyDescent="0.2">
      <c r="D4">
        <f>SUM(D2:D3)</f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</vt:lpstr>
      <vt:lpstr>Mondial - Gemini</vt:lpstr>
      <vt:lpstr>Formula 1 - Gemini</vt:lpstr>
      <vt:lpstr>Baseball - Gemini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Casanova</dc:creator>
  <cp:lastModifiedBy>Marco Antonio Casanova</cp:lastModifiedBy>
  <dcterms:created xsi:type="dcterms:W3CDTF">2026-08-05T18:44:27Z</dcterms:created>
  <dcterms:modified xsi:type="dcterms:W3CDTF">2026-08-08T14:55:05Z</dcterms:modified>
</cp:coreProperties>
</file>